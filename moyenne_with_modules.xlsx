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cef\Desktop\"/>
    </mc:Choice>
  </mc:AlternateContent>
  <bookViews>
    <workbookView xWindow="0" yWindow="0" windowWidth="15276" windowHeight="4608"/>
  </bookViews>
  <sheets>
    <sheet name="Moyennes" sheetId="1" r:id="rId1"/>
  </sheets>
  <calcPr calcId="162913"/>
</workbook>
</file>

<file path=xl/calcChain.xml><?xml version="1.0" encoding="utf-8"?>
<calcChain xmlns="http://schemas.openxmlformats.org/spreadsheetml/2006/main">
  <c r="F14" i="1" l="1"/>
  <c r="G14" i="1" s="1"/>
  <c r="F16" i="1"/>
  <c r="F17" i="1"/>
  <c r="G17" i="1" s="1"/>
  <c r="F18" i="1"/>
  <c r="G18" i="1" s="1"/>
  <c r="F19" i="1"/>
  <c r="G19" i="1" s="1"/>
  <c r="F20" i="1"/>
  <c r="G20" i="1" s="1"/>
  <c r="F22" i="1"/>
  <c r="G22" i="1" s="1"/>
  <c r="B23" i="1"/>
  <c r="F21" i="1"/>
  <c r="G21" i="1" s="1"/>
  <c r="F15" i="1"/>
  <c r="G15" i="1" s="1"/>
  <c r="F13" i="1"/>
  <c r="G13" i="1" s="1"/>
  <c r="F8" i="1"/>
  <c r="F9" i="1"/>
  <c r="F10" i="1"/>
  <c r="F7" i="1"/>
  <c r="F5" i="1"/>
  <c r="F6" i="1"/>
  <c r="F4" i="1"/>
  <c r="F23" i="1" l="1"/>
  <c r="G16" i="1"/>
  <c r="G23" i="1" s="1"/>
  <c r="G6" i="1"/>
  <c r="G7" i="1"/>
  <c r="G9" i="1"/>
  <c r="G10" i="1"/>
  <c r="B11" i="1"/>
  <c r="G8" i="1"/>
  <c r="G5" i="1"/>
  <c r="G4" i="1"/>
  <c r="F3" i="1"/>
  <c r="G3" i="1" s="1"/>
  <c r="F2" i="1"/>
  <c r="G2" i="1" s="1"/>
  <c r="I12" i="1" l="1"/>
  <c r="J12" i="1" s="1"/>
  <c r="G11" i="1"/>
  <c r="I11" i="1" s="1"/>
  <c r="J11" i="1" s="1"/>
  <c r="K11" i="1" s="1"/>
  <c r="F11" i="1"/>
  <c r="K12" i="1" l="1"/>
  <c r="J13" i="1"/>
  <c r="I13" i="1"/>
</calcChain>
</file>

<file path=xl/sharedStrings.xml><?xml version="1.0" encoding="utf-8"?>
<sst xmlns="http://schemas.openxmlformats.org/spreadsheetml/2006/main" count="34" uniqueCount="27">
  <si>
    <t>Matière</t>
  </si>
  <si>
    <t>Coef</t>
  </si>
  <si>
    <t>ECD</t>
  </si>
  <si>
    <t>TP</t>
  </si>
  <si>
    <t>EMD</t>
  </si>
  <si>
    <t>Moyenne</t>
  </si>
  <si>
    <t>Théorie de l'information et codage</t>
  </si>
  <si>
    <t>Communications Numériques</t>
  </si>
  <si>
    <t>Communications unifiées et NGN</t>
  </si>
  <si>
    <t>Cyber Sécurité</t>
  </si>
  <si>
    <t>Technologies Web 2</t>
  </si>
  <si>
    <t>Projet 1</t>
  </si>
  <si>
    <t>Économie et stratégies d'entreprises</t>
  </si>
  <si>
    <t>Management de Projet</t>
  </si>
  <si>
    <t>Anglais 6</t>
  </si>
  <si>
    <t>Radio communications</t>
  </si>
  <si>
    <t>Infrastructure des télécommunications &amp; Techniques d'Accès</t>
  </si>
  <si>
    <t>DataCenter</t>
  </si>
  <si>
    <t>Composants photoniques pour télécoms optiques</t>
  </si>
  <si>
    <t>Programmation réseaux</t>
  </si>
  <si>
    <t>Communication multimédia</t>
  </si>
  <si>
    <t>Optimisation numérique</t>
  </si>
  <si>
    <t>Stage de découverte de l'éntreprise</t>
  </si>
  <si>
    <t>Anglais 7</t>
  </si>
  <si>
    <t>Projet 2</t>
  </si>
  <si>
    <t>Moyen :</t>
  </si>
  <si>
    <t>MoyenneT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</si>
</sst>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6"/>
      <name val="Bahnschrift SemiBold Condensed"/>
      <family val="2"/>
    </font>
    <font>
      <sz val="16"/>
      <color theme="1"/>
      <name val="Bahnschrift SemiBold Condensed"/>
      <family val="2"/>
    </font>
    <font>
      <sz val="16"/>
      <color theme="0" tint="-0.249977111117893"/>
      <name val="Bahnschrift SemiBold Condensed"/>
      <family val="2"/>
    </font>
    <font>
      <sz val="11"/>
      <color theme="1"/>
      <name val="Bahnschrift SemiBold Condensed"/>
      <family val="2"/>
    </font>
    <font>
      <sz val="16"/>
      <name val="Bahnschrift SemiBold Condensed"/>
      <family val="2"/>
    </font>
    <font>
      <sz val="16"/>
      <color rgb="FFFF0000"/>
      <name val="Bahnschrift SemiBold Condensed"/>
      <family val="2"/>
    </font>
    <font>
      <b/>
      <sz val="22"/>
      <name val="Bahnschrift SemiBold Condensed"/>
      <family val="2"/>
    </font>
    <font>
      <sz val="22"/>
      <color theme="1"/>
      <name val="Bahnschrift SemiBold Condensed"/>
      <family val="2"/>
    </font>
    <font>
      <sz val="22"/>
      <color rgb="FFFFFF00"/>
      <name val="Bahnschrift SemiBold Condensed"/>
      <family val="2"/>
    </font>
    <font>
      <sz val="16"/>
      <color rgb="FF00B050"/>
      <name val="Bahnschrift SemiBold Condensed"/>
      <family val="2"/>
    </font>
    <font>
      <sz val="16"/>
      <color theme="4" tint="-0.249977111117893"/>
      <name val="Bahnschrift SemiBold Condensed"/>
      <family val="2"/>
    </font>
    <font>
      <sz val="16"/>
      <color rgb="FFFFFF00"/>
      <name val="Bahnschrift SemiBold Condensed"/>
      <family val="2"/>
    </font>
    <font>
      <sz val="16"/>
      <color rgb="FF0070C0"/>
      <name val="Bahnschrift SemiBold Condensed"/>
      <family val="2"/>
    </font>
    <font>
      <sz val="22"/>
      <color rgb="FF92D050"/>
      <name val="Bahnschrift SemiBold Condensed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rgb="FFDBE2E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6" borderId="1" xfId="0" applyFont="1" applyFill="1" applyBorder="1" applyAlignment="1">
      <alignment horizontal="center"/>
    </xf>
    <xf numFmtId="0" fontId="4" fillId="0" borderId="0" xfId="0" applyFont="1"/>
    <xf numFmtId="0" fontId="4" fillId="0" borderId="4" xfId="0" applyFont="1" applyBorder="1"/>
    <xf numFmtId="0" fontId="5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10" fillId="2" borderId="1" xfId="0" applyFont="1" applyFill="1" applyBorder="1"/>
    <xf numFmtId="0" fontId="11" fillId="2" borderId="1" xfId="0" applyFont="1" applyFill="1" applyBorder="1"/>
    <xf numFmtId="0" fontId="6" fillId="2" borderId="1" xfId="0" applyFont="1" applyFill="1" applyBorder="1"/>
    <xf numFmtId="0" fontId="5" fillId="5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6" fillId="8" borderId="1" xfId="0" applyNumberFormat="1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2" fontId="6" fillId="4" borderId="5" xfId="0" applyNumberFormat="1" applyFont="1" applyFill="1" applyBorder="1" applyAlignment="1">
      <alignment horizontal="center"/>
    </xf>
    <xf numFmtId="2" fontId="6" fillId="5" borderId="1" xfId="0" applyNumberFormat="1" applyFont="1" applyFill="1" applyBorder="1" applyAlignment="1">
      <alignment horizontal="center"/>
    </xf>
    <xf numFmtId="2" fontId="12" fillId="5" borderId="5" xfId="0" applyNumberFormat="1" applyFont="1" applyFill="1" applyBorder="1" applyAlignment="1">
      <alignment horizontal="center"/>
    </xf>
    <xf numFmtId="2" fontId="12" fillId="5" borderId="1" xfId="0" applyNumberFormat="1" applyFont="1" applyFill="1" applyBorder="1" applyAlignment="1">
      <alignment horizontal="center"/>
    </xf>
    <xf numFmtId="2" fontId="9" fillId="11" borderId="1" xfId="0" applyNumberFormat="1" applyFont="1" applyFill="1" applyBorder="1" applyAlignment="1">
      <alignment horizontal="center"/>
    </xf>
    <xf numFmtId="2" fontId="9" fillId="11" borderId="3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2" fontId="13" fillId="12" borderId="1" xfId="0" applyNumberFormat="1" applyFont="1" applyFill="1" applyBorder="1" applyAlignment="1">
      <alignment horizontal="center"/>
    </xf>
    <xf numFmtId="2" fontId="5" fillId="7" borderId="1" xfId="0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10" xfId="0" applyFont="1" applyBorder="1"/>
    <xf numFmtId="0" fontId="0" fillId="0" borderId="10" xfId="0" applyBorder="1"/>
    <xf numFmtId="0" fontId="0" fillId="0" borderId="11" xfId="0" applyBorder="1"/>
    <xf numFmtId="2" fontId="9" fillId="5" borderId="15" xfId="0" applyNumberFormat="1" applyFont="1" applyFill="1" applyBorder="1" applyAlignment="1">
      <alignment horizontal="center"/>
    </xf>
    <xf numFmtId="2" fontId="9" fillId="11" borderId="16" xfId="0" applyNumberFormat="1" applyFont="1" applyFill="1" applyBorder="1" applyAlignment="1">
      <alignment horizontal="center"/>
    </xf>
    <xf numFmtId="2" fontId="9" fillId="5" borderId="17" xfId="0" applyNumberFormat="1" applyFont="1" applyFill="1" applyBorder="1" applyAlignment="1">
      <alignment horizontal="center"/>
    </xf>
    <xf numFmtId="2" fontId="8" fillId="9" borderId="18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14" fillId="10" borderId="19" xfId="0" applyNumberFormat="1" applyFont="1" applyFill="1" applyBorder="1" applyAlignment="1">
      <alignment horizontal="center"/>
    </xf>
    <xf numFmtId="2" fontId="14" fillId="10" borderId="2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zoomScale="85" zoomScaleNormal="88" workbookViewId="0">
      <selection activeCell="J6" sqref="J6"/>
    </sheetView>
  </sheetViews>
  <sheetFormatPr defaultRowHeight="14.4" x14ac:dyDescent="0.3"/>
  <cols>
    <col min="1" max="1" width="63.44140625" customWidth="1"/>
    <col min="2" max="2" width="12.88671875" customWidth="1"/>
    <col min="3" max="3" width="9.88671875" customWidth="1"/>
    <col min="4" max="4" width="10.21875" customWidth="1"/>
    <col min="5" max="5" width="13.21875" customWidth="1"/>
    <col min="6" max="6" width="21" customWidth="1"/>
    <col min="7" max="7" width="17.88671875" customWidth="1"/>
    <col min="8" max="8" width="1" customWidth="1"/>
    <col min="9" max="9" width="13" customWidth="1"/>
    <col min="10" max="10" width="15.44140625" customWidth="1"/>
    <col min="11" max="11" width="14.6640625" customWidth="1"/>
  </cols>
  <sheetData>
    <row r="1" spans="1:11" ht="20.39999999999999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</v>
      </c>
    </row>
    <row r="2" spans="1:11" ht="20.399999999999999" x14ac:dyDescent="0.35">
      <c r="A2" s="2" t="s">
        <v>6</v>
      </c>
      <c r="B2" s="3">
        <v>5</v>
      </c>
      <c r="C2" s="21">
        <v>4.5</v>
      </c>
      <c r="D2" s="21">
        <v>14</v>
      </c>
      <c r="E2" s="22">
        <v>13</v>
      </c>
      <c r="F2" s="13">
        <f t="shared" ref="F2:F3" si="0">IF(ISBLANK(D2), C2*0.4 + E2*0.6, C2*0.2 + D2*0.2 + E2*0.6)</f>
        <v>11.5</v>
      </c>
      <c r="G2" s="14">
        <f>F2*B2</f>
        <v>57.5</v>
      </c>
    </row>
    <row r="3" spans="1:11" ht="20.399999999999999" x14ac:dyDescent="0.35">
      <c r="A3" s="2" t="s">
        <v>7</v>
      </c>
      <c r="B3" s="3">
        <v>5</v>
      </c>
      <c r="C3" s="22">
        <v>11.5</v>
      </c>
      <c r="D3" s="22">
        <v>11.66</v>
      </c>
      <c r="E3" s="22">
        <v>5.31</v>
      </c>
      <c r="F3" s="13">
        <f t="shared" si="0"/>
        <v>7.8179999999999996</v>
      </c>
      <c r="G3" s="14">
        <f t="shared" ref="G3:G10" si="1">F3*B3</f>
        <v>39.089999999999996</v>
      </c>
      <c r="H3" s="4"/>
    </row>
    <row r="4" spans="1:11" ht="20.399999999999999" x14ac:dyDescent="0.35">
      <c r="A4" s="2" t="s">
        <v>8</v>
      </c>
      <c r="B4" s="3">
        <v>5</v>
      </c>
      <c r="C4" s="23">
        <v>20</v>
      </c>
      <c r="D4" s="21">
        <v>15</v>
      </c>
      <c r="E4" s="22">
        <v>9.25</v>
      </c>
      <c r="F4" s="13">
        <f>D4*0.4+E4*0.6</f>
        <v>11.55</v>
      </c>
      <c r="G4" s="14">
        <f t="shared" si="1"/>
        <v>57.75</v>
      </c>
      <c r="H4" s="4"/>
    </row>
    <row r="5" spans="1:11" ht="20.399999999999999" x14ac:dyDescent="0.35">
      <c r="A5" s="2" t="s">
        <v>9</v>
      </c>
      <c r="B5" s="3">
        <v>4</v>
      </c>
      <c r="C5" s="23">
        <v>20</v>
      </c>
      <c r="D5" s="21">
        <v>13.5</v>
      </c>
      <c r="E5" s="22">
        <v>14</v>
      </c>
      <c r="F5" s="13">
        <f t="shared" ref="F5:F6" si="2">D5*0.4+E5*0.6</f>
        <v>13.8</v>
      </c>
      <c r="G5" s="14">
        <f t="shared" si="1"/>
        <v>55.2</v>
      </c>
      <c r="H5" s="4"/>
    </row>
    <row r="6" spans="1:11" ht="20.399999999999999" x14ac:dyDescent="0.35">
      <c r="A6" s="2" t="s">
        <v>10</v>
      </c>
      <c r="B6" s="3">
        <v>4</v>
      </c>
      <c r="C6" s="23">
        <v>20</v>
      </c>
      <c r="D6" s="21">
        <v>13</v>
      </c>
      <c r="E6" s="22">
        <v>5</v>
      </c>
      <c r="F6" s="13">
        <f t="shared" si="2"/>
        <v>8.1999999999999993</v>
      </c>
      <c r="G6" s="14">
        <f t="shared" si="1"/>
        <v>32.799999999999997</v>
      </c>
      <c r="H6" s="4"/>
    </row>
    <row r="7" spans="1:11" ht="23.4" customHeight="1" x14ac:dyDescent="0.35">
      <c r="A7" s="2" t="s">
        <v>11</v>
      </c>
      <c r="B7" s="3">
        <v>3</v>
      </c>
      <c r="C7" s="22">
        <v>12.2</v>
      </c>
      <c r="D7" s="23">
        <v>20</v>
      </c>
      <c r="E7" s="22">
        <v>12.2</v>
      </c>
      <c r="F7" s="13">
        <f>C7*0.4+E7*0.6</f>
        <v>12.2</v>
      </c>
      <c r="G7" s="14">
        <f t="shared" si="1"/>
        <v>36.599999999999994</v>
      </c>
      <c r="H7" s="4"/>
    </row>
    <row r="8" spans="1:11" ht="22.8" customHeight="1" x14ac:dyDescent="0.35">
      <c r="A8" s="2" t="s">
        <v>12</v>
      </c>
      <c r="B8" s="3">
        <v>3</v>
      </c>
      <c r="C8" s="21">
        <v>11</v>
      </c>
      <c r="D8" s="23">
        <v>20</v>
      </c>
      <c r="E8" s="22">
        <v>13</v>
      </c>
      <c r="F8" s="13">
        <f t="shared" ref="F8:F10" si="3">C8*0.4+E8*0.6</f>
        <v>12.2</v>
      </c>
      <c r="G8" s="14">
        <f t="shared" si="1"/>
        <v>36.599999999999994</v>
      </c>
      <c r="H8" s="4"/>
    </row>
    <row r="9" spans="1:11" ht="22.8" customHeight="1" thickBot="1" x14ac:dyDescent="0.4">
      <c r="A9" s="2" t="s">
        <v>13</v>
      </c>
      <c r="B9" s="3">
        <v>2</v>
      </c>
      <c r="C9" s="22">
        <v>13.5</v>
      </c>
      <c r="D9" s="23">
        <v>202</v>
      </c>
      <c r="E9" s="22">
        <v>13.5</v>
      </c>
      <c r="F9" s="13">
        <f t="shared" si="3"/>
        <v>13.5</v>
      </c>
      <c r="G9" s="14">
        <f t="shared" si="1"/>
        <v>27</v>
      </c>
      <c r="H9" s="4"/>
    </row>
    <row r="10" spans="1:11" ht="24" customHeight="1" x14ac:dyDescent="0.45">
      <c r="A10" s="2" t="s">
        <v>14</v>
      </c>
      <c r="B10" s="3">
        <v>2</v>
      </c>
      <c r="C10" s="21">
        <v>17</v>
      </c>
      <c r="D10" s="23">
        <v>20</v>
      </c>
      <c r="E10" s="21">
        <v>16</v>
      </c>
      <c r="F10" s="13">
        <f t="shared" si="3"/>
        <v>16.399999999999999</v>
      </c>
      <c r="G10" s="15">
        <f t="shared" si="1"/>
        <v>32.799999999999997</v>
      </c>
      <c r="H10" s="26"/>
      <c r="I10" s="34" t="s">
        <v>25</v>
      </c>
      <c r="J10" s="35"/>
      <c r="K10" s="36"/>
    </row>
    <row r="11" spans="1:11" ht="24.6" customHeight="1" x14ac:dyDescent="0.45">
      <c r="A11" s="5"/>
      <c r="B11" s="6">
        <f>SUM(B2:B10)</f>
        <v>33</v>
      </c>
      <c r="C11" s="40"/>
      <c r="D11" s="41"/>
      <c r="E11" s="42"/>
      <c r="F11" s="16">
        <f>SUM(F2:F10)</f>
        <v>107.16800000000001</v>
      </c>
      <c r="G11" s="17">
        <f>SUM(G2:G10)</f>
        <v>375.34000000000009</v>
      </c>
      <c r="H11" s="27"/>
      <c r="I11" s="30">
        <f>G11/B11</f>
        <v>11.373939393939397</v>
      </c>
      <c r="J11" s="19">
        <f>I11*0.47</f>
        <v>5.345751515151516</v>
      </c>
      <c r="K11" s="31">
        <f>J11*2</f>
        <v>10.691503030303032</v>
      </c>
    </row>
    <row r="12" spans="1:11" ht="24" customHeight="1" thickBot="1" x14ac:dyDescent="0.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2" t="s">
        <v>26</v>
      </c>
      <c r="H12" s="28"/>
      <c r="I12" s="32">
        <f>G23/B23</f>
        <v>8.78125</v>
      </c>
      <c r="J12" s="20">
        <f>I12*0.53</f>
        <v>4.6540625000000002</v>
      </c>
      <c r="K12" s="31">
        <f>J12*2</f>
        <v>9.3081250000000004</v>
      </c>
    </row>
    <row r="13" spans="1:11" ht="25.8" customHeight="1" thickBot="1" x14ac:dyDescent="0.5">
      <c r="A13" s="10" t="s">
        <v>15</v>
      </c>
      <c r="B13" s="3">
        <v>5</v>
      </c>
      <c r="C13" s="21">
        <v>11</v>
      </c>
      <c r="D13" s="21">
        <v>11</v>
      </c>
      <c r="E13" s="22">
        <v>5</v>
      </c>
      <c r="F13" s="13">
        <f t="shared" ref="F13" si="4">IF(ISBLANK(D13), C13*0.4 + E13*0.6, C13*0.2 + D13*0.2 + E13*0.6)</f>
        <v>7.4</v>
      </c>
      <c r="G13" s="15">
        <f>F13*B13</f>
        <v>37</v>
      </c>
      <c r="H13" s="29"/>
      <c r="I13" s="33">
        <f>(I11+I12)/2</f>
        <v>10.077594696969697</v>
      </c>
      <c r="J13" s="43">
        <f>J12+J11</f>
        <v>9.9998140151515162</v>
      </c>
      <c r="K13" s="44"/>
    </row>
    <row r="14" spans="1:11" ht="20.399999999999999" x14ac:dyDescent="0.35">
      <c r="A14" s="8" t="s">
        <v>16</v>
      </c>
      <c r="B14" s="3">
        <v>5</v>
      </c>
      <c r="C14" s="23">
        <v>20</v>
      </c>
      <c r="D14" s="21">
        <v>12</v>
      </c>
      <c r="E14" s="22">
        <v>5</v>
      </c>
      <c r="F14" s="13">
        <f>D14*0.4+E14*0.6</f>
        <v>7.8000000000000007</v>
      </c>
      <c r="G14" s="14">
        <f t="shared" ref="G14:G21" si="5">F14*B14</f>
        <v>39</v>
      </c>
    </row>
    <row r="15" spans="1:11" ht="20.399999999999999" x14ac:dyDescent="0.35">
      <c r="A15" s="8" t="s">
        <v>17</v>
      </c>
      <c r="B15" s="3">
        <v>5</v>
      </c>
      <c r="C15" s="23">
        <v>15</v>
      </c>
      <c r="D15" s="21">
        <v>8</v>
      </c>
      <c r="E15" s="22">
        <v>9</v>
      </c>
      <c r="F15" s="13">
        <f>D15*0.4+E15*0.6</f>
        <v>8.6</v>
      </c>
      <c r="G15" s="14">
        <f t="shared" si="5"/>
        <v>43</v>
      </c>
    </row>
    <row r="16" spans="1:11" ht="20.399999999999999" x14ac:dyDescent="0.35">
      <c r="A16" s="8" t="s">
        <v>18</v>
      </c>
      <c r="B16" s="3">
        <v>4</v>
      </c>
      <c r="C16" s="23">
        <v>12</v>
      </c>
      <c r="D16" s="24">
        <v>11</v>
      </c>
      <c r="E16" s="24">
        <v>6</v>
      </c>
      <c r="F16" s="13">
        <f t="shared" ref="F16:F19" si="6">D16*0.4+E16*0.6</f>
        <v>8</v>
      </c>
      <c r="G16" s="14">
        <f t="shared" si="5"/>
        <v>32</v>
      </c>
    </row>
    <row r="17" spans="1:7" ht="20.399999999999999" x14ac:dyDescent="0.35">
      <c r="A17" s="10" t="s">
        <v>19</v>
      </c>
      <c r="B17" s="3">
        <v>4</v>
      </c>
      <c r="C17" s="23">
        <v>20</v>
      </c>
      <c r="D17" s="21">
        <v>11</v>
      </c>
      <c r="E17" s="22">
        <v>1</v>
      </c>
      <c r="F17" s="13">
        <f t="shared" si="6"/>
        <v>5</v>
      </c>
      <c r="G17" s="14">
        <f t="shared" si="5"/>
        <v>20</v>
      </c>
    </row>
    <row r="18" spans="1:7" ht="20.399999999999999" x14ac:dyDescent="0.35">
      <c r="A18" s="8" t="s">
        <v>20</v>
      </c>
      <c r="B18" s="3">
        <v>3</v>
      </c>
      <c r="C18" s="23">
        <v>20</v>
      </c>
      <c r="D18" s="24">
        <v>12</v>
      </c>
      <c r="E18" s="24">
        <v>12</v>
      </c>
      <c r="F18" s="13">
        <f t="shared" si="6"/>
        <v>12</v>
      </c>
      <c r="G18" s="14">
        <f t="shared" si="5"/>
        <v>36</v>
      </c>
    </row>
    <row r="19" spans="1:7" ht="20.399999999999999" x14ac:dyDescent="0.35">
      <c r="A19" s="9" t="s">
        <v>21</v>
      </c>
      <c r="B19" s="3">
        <v>3</v>
      </c>
      <c r="C19" s="23">
        <v>20</v>
      </c>
      <c r="D19" s="21">
        <v>5</v>
      </c>
      <c r="E19" s="22">
        <v>5</v>
      </c>
      <c r="F19" s="13">
        <f t="shared" si="6"/>
        <v>5</v>
      </c>
      <c r="G19" s="14">
        <f t="shared" si="5"/>
        <v>15</v>
      </c>
    </row>
    <row r="20" spans="1:7" ht="20.399999999999999" x14ac:dyDescent="0.35">
      <c r="A20" s="7" t="s">
        <v>22</v>
      </c>
      <c r="B20" s="3">
        <v>1</v>
      </c>
      <c r="C20" s="25">
        <v>0</v>
      </c>
      <c r="D20" s="23">
        <v>0</v>
      </c>
      <c r="E20" s="22">
        <v>13</v>
      </c>
      <c r="F20" s="13">
        <f>E20</f>
        <v>13</v>
      </c>
      <c r="G20" s="14">
        <f t="shared" si="5"/>
        <v>13</v>
      </c>
    </row>
    <row r="21" spans="1:7" ht="20.399999999999999" x14ac:dyDescent="0.35">
      <c r="A21" s="2" t="s">
        <v>24</v>
      </c>
      <c r="B21" s="3">
        <v>2</v>
      </c>
      <c r="C21" s="21">
        <v>11</v>
      </c>
      <c r="D21" s="23">
        <v>0</v>
      </c>
      <c r="E21" s="22">
        <v>11</v>
      </c>
      <c r="F21" s="13">
        <f t="shared" ref="F21" si="7">C21*0.4+E21*0.6</f>
        <v>11</v>
      </c>
      <c r="G21" s="14">
        <f t="shared" si="5"/>
        <v>22</v>
      </c>
    </row>
    <row r="22" spans="1:7" ht="20.399999999999999" x14ac:dyDescent="0.35">
      <c r="A22" s="2" t="s">
        <v>23</v>
      </c>
      <c r="B22" s="3">
        <v>2</v>
      </c>
      <c r="C22" s="21">
        <v>12</v>
      </c>
      <c r="D22" s="23">
        <v>0</v>
      </c>
      <c r="E22" s="22">
        <v>12</v>
      </c>
      <c r="F22" s="13">
        <f t="shared" ref="F22" si="8">C22*0.4+E22*0.6</f>
        <v>12</v>
      </c>
      <c r="G22" s="14">
        <f t="shared" ref="G22" si="9">F22*B22</f>
        <v>24</v>
      </c>
    </row>
    <row r="23" spans="1:7" ht="20.399999999999999" x14ac:dyDescent="0.35">
      <c r="B23" s="11">
        <f>SUM(B13:B21)</f>
        <v>32</v>
      </c>
      <c r="C23" s="37"/>
      <c r="D23" s="38"/>
      <c r="E23" s="39"/>
      <c r="F23" s="16">
        <f>SUM(F13:F21)</f>
        <v>77.8</v>
      </c>
      <c r="G23" s="18">
        <f>SUM(G13:G22)</f>
        <v>281</v>
      </c>
    </row>
    <row r="24" spans="1:7" ht="21" customHeight="1" x14ac:dyDescent="0.3"/>
  </sheetData>
  <mergeCells count="4">
    <mergeCell ref="I10:K10"/>
    <mergeCell ref="C23:E23"/>
    <mergeCell ref="C11:E11"/>
    <mergeCell ref="J13:K1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Moyennes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Youcef</cp:lastModifiedBy>
  <dcterms:created xsi:type="dcterms:W3CDTF">2025-11-22T15:57:30Z</dcterms:created>
  <dcterms:modified xsi:type="dcterms:W3CDTF">2026-05-24T20:10:26Z</dcterms:modified>
</cp:coreProperties>
</file>